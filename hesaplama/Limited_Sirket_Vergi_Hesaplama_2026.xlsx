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Girdiler" sheetId="1" state="visible" r:id="rId1"/>
    <sheet name="2. KDV" sheetId="2" state="visible" r:id="rId2"/>
    <sheet name="3. Çalışan Maliyeti" sheetId="3" state="visible" r:id="rId3"/>
    <sheet name="4. Kurumlar Vergisi" sheetId="4" state="visible" r:id="rId4"/>
    <sheet name="5. Stopajlar" sheetId="5" state="visible" r:id="rId5"/>
    <sheet name="6. ÖZET" sheetId="6" state="visible" r:id="rId6"/>
    <sheet name="7. Notlar &amp; Oranlar" sheetId="7" state="visible" r:id="rId7"/>
  </sheets>
  <definedNames>
    <definedName name="Satis">'1. Girdiler'!$C$6</definedName>
    <definedName name="SatisKDV">'1. Girdiler'!$C$7</definedName>
    <definedName name="Alis">'1. Girdiler'!$C$8</definedName>
    <definedName name="AlisKDV">'1. Girdiler'!$C$9</definedName>
    <definedName name="KDVsizGider">'1. Girdiler'!$C$10</definedName>
    <definedName name="KKEG">'1. Girdiler'!$C$11</definedName>
    <definedName name="KiraAylik">'1. Girdiler'!$C$14</definedName>
    <definedName name="KiraStopaj">'1. Girdiler'!$C$15</definedName>
    <definedName name="Calisan">'1. Girdiler'!$C$18</definedName>
    <definedName name="BrutMaas">'1. Girdiler'!$C$19</definedName>
    <definedName name="SGKisci">'1. Girdiler'!$C$20</definedName>
    <definedName name="IssizlikIsci">'1. Girdiler'!$C$21</definedName>
    <definedName name="SGKisveren">'1. Girdiler'!$C$22</definedName>
    <definedName name="IssizlikIsveren">'1. Girdiler'!$C$23</definedName>
    <definedName name="Damga">'1. Girdiler'!$C$24</definedName>
    <definedName name="AsgariUcret">'1. Girdiler'!$C$25</definedName>
    <definedName name="KVoran">'1. Girdiler'!$C$28</definedName>
    <definedName name="GeciciVergi">'1. Girdiler'!$C$29</definedName>
    <definedName name="TemettuVarMi">'1. Girdiler'!$C$30</definedName>
    <definedName name="TemettuStopaj">'1. Girdiler'!$C$31</definedName>
    <definedName name="AsgariKVoran">'1. Girdiler'!$C$34</definedName>
    <definedName name="YeniSirket">'1. Girdiler'!$C$35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₺&quot;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95959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0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right" vertical="center"/>
    </xf>
    <xf numFmtId="10" fontId="0" fillId="6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0" fontId="4" fillId="7" borderId="1" applyAlignment="1" pivotButton="0" quotePrefix="0" xfId="0">
      <alignment horizontal="right" vertical="center"/>
    </xf>
    <xf numFmtId="0" fontId="0" fillId="0" borderId="1" pivotButton="0" quotePrefix="0" xfId="0"/>
    <xf numFmtId="3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B1:E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12" customWidth="1" min="4" max="4"/>
    <col width="60" customWidth="1" min="5" max="5"/>
  </cols>
  <sheetData>
    <row r="1" ht="24" customHeight="1">
      <c r="B1" s="1" t="inlineStr">
        <is>
          <t>TÜRKİYE LİMİTED ŞİRKETİ – 2026 VERGİ HESAPLAMA TABLOSU</t>
        </is>
      </c>
    </row>
    <row r="2">
      <c r="B2" s="2" t="inlineStr">
        <is>
          <t>Sarı hücreler = girdi (düzenleyebilirsiniz). Yeşil hücreler = otomatik hesaplanır.</t>
        </is>
      </c>
    </row>
    <row r="4" ht="20" customHeight="1">
      <c r="B4" s="3" t="inlineStr">
        <is>
          <t>1.A  Yıllık Gelir, Maliyet ve KDV Oranları</t>
        </is>
      </c>
    </row>
    <row r="5">
      <c r="B5" s="4" t="inlineStr">
        <is>
          <t>Parametre</t>
        </is>
      </c>
      <c r="C5" s="4" t="inlineStr">
        <is>
          <t>Değer</t>
        </is>
      </c>
      <c r="D5" s="4" t="inlineStr">
        <is>
          <t>Birim</t>
        </is>
      </c>
      <c r="E5" s="4" t="inlineStr">
        <is>
          <t>Açıklama</t>
        </is>
      </c>
    </row>
    <row r="6">
      <c r="B6" s="5" t="inlineStr">
        <is>
          <t>Yıllık satış / hasılat (KDV HARİÇ)</t>
        </is>
      </c>
      <c r="C6" s="6" t="n">
        <v>1000000</v>
      </c>
      <c r="D6" s="7" t="inlineStr">
        <is>
          <t>₺</t>
        </is>
      </c>
      <c r="E6" s="8" t="inlineStr">
        <is>
          <t>Kullanıcı varsayımı: 1.000.000 ₺ fatura kesimi (KDV hariç tutar).</t>
        </is>
      </c>
    </row>
    <row r="7">
      <c r="B7" s="5" t="inlineStr">
        <is>
          <t>Satış KDV oranı</t>
        </is>
      </c>
      <c r="C7" s="9" t="n">
        <v>0.2</v>
      </c>
      <c r="D7" s="7" t="inlineStr">
        <is>
          <t>%</t>
        </is>
      </c>
      <c r="E7" s="8" t="inlineStr">
        <is>
          <t>Standart oran 2026 itibarıyla %20. Gıda %10, kitap %1 olabilir.</t>
        </is>
      </c>
    </row>
    <row r="8">
      <c r="B8" s="5" t="inlineStr">
        <is>
          <t>Yıllık alış / gider (KDV HARİÇ, indirilebilir)</t>
        </is>
      </c>
      <c r="C8" s="6" t="n">
        <v>350000</v>
      </c>
      <c r="D8" s="7" t="inlineStr">
        <is>
          <t>₺</t>
        </is>
      </c>
      <c r="E8" s="8" t="inlineStr">
        <is>
          <t>Mal/hizmet alımı, kira, fatura vb. KDV'si indirilebilen giderler.</t>
        </is>
      </c>
    </row>
    <row r="9">
      <c r="B9" s="5" t="inlineStr">
        <is>
          <t>Alış KDV oranı (ortalama)</t>
        </is>
      </c>
      <c r="C9" s="9" t="n">
        <v>0.2</v>
      </c>
      <c r="D9" s="7" t="inlineStr">
        <is>
          <t>%</t>
        </is>
      </c>
      <c r="E9" s="8" t="inlineStr">
        <is>
          <t>Alımların ağırlıklı ortalama KDV oranı.</t>
        </is>
      </c>
    </row>
    <row r="10">
      <c r="B10" s="5" t="inlineStr">
        <is>
          <t>KDV'siz / belgesiz giderler (yıllık)</t>
        </is>
      </c>
      <c r="C10" s="6" t="n">
        <v>0</v>
      </c>
      <c r="D10" s="7" t="inlineStr">
        <is>
          <t>₺</t>
        </is>
      </c>
      <c r="E10" s="8" t="inlineStr">
        <is>
          <t>KKEG dışı ama KDV içermeyen giderler (örn. SGK primleri zaten ayrı).</t>
        </is>
      </c>
    </row>
    <row r="11">
      <c r="B11" s="5" t="inlineStr">
        <is>
          <t>Kanunen kabul edilmeyen giderler (KKEG)</t>
        </is>
      </c>
      <c r="C11" s="6" t="n">
        <v>0</v>
      </c>
      <c r="D11" s="7" t="inlineStr">
        <is>
          <t>₺</t>
        </is>
      </c>
      <c r="E11" s="8" t="inlineStr">
        <is>
          <t>Cezalar, özel binek araç giderlerinin bir kısmı vb. → Kurumlar Vergisi matrahına eklenir.</t>
        </is>
      </c>
    </row>
    <row r="13" ht="20" customHeight="1">
      <c r="B13" s="3" t="inlineStr">
        <is>
          <t>1.B  İşyeri Kirası ve Stopaj</t>
        </is>
      </c>
    </row>
    <row r="14">
      <c r="B14" s="5" t="inlineStr">
        <is>
          <t>Aylık brüt işyeri kirası (gerçek kişiden)</t>
        </is>
      </c>
      <c r="C14" s="6" t="n">
        <v>0</v>
      </c>
      <c r="D14" s="7" t="inlineStr">
        <is>
          <t>₺/ay</t>
        </is>
      </c>
      <c r="E14" s="8" t="inlineStr">
        <is>
          <t>Gerçek kişi mal sahibinden kiralanıyorsa kiracı stopaj keser.</t>
        </is>
      </c>
    </row>
    <row r="15">
      <c r="B15" s="5" t="inlineStr">
        <is>
          <t>İşyeri kira stopaj oranı (GVK 94/5)</t>
        </is>
      </c>
      <c r="C15" s="9" t="n">
        <v>0.2</v>
      </c>
      <c r="D15" s="7" t="inlineStr">
        <is>
          <t>%</t>
        </is>
      </c>
      <c r="E15" s="8" t="inlineStr">
        <is>
          <t>2026 itibarıyla %20 (geçici düzenleme sona ererse).</t>
        </is>
      </c>
    </row>
    <row r="17" ht="20" customHeight="1">
      <c r="B17" s="3" t="inlineStr">
        <is>
          <t>1.C  Çalışan / Personel Maliyeti</t>
        </is>
      </c>
    </row>
    <row r="18">
      <c r="B18" s="5" t="inlineStr">
        <is>
          <t>Çalışan sayısı</t>
        </is>
      </c>
      <c r="C18" s="10" t="n">
        <v>0</v>
      </c>
      <c r="D18" s="7" t="inlineStr">
        <is>
          <t>kişi</t>
        </is>
      </c>
      <c r="E18" s="8" t="inlineStr">
        <is>
          <t>0 girilirse personel maliyeti hesaplanmaz. Çalışan yoksa SGK primi yoktur.</t>
        </is>
      </c>
    </row>
    <row r="19">
      <c r="B19" s="5" t="inlineStr">
        <is>
          <t>Ortalama aylık BRÜT maaş (kişi başı)</t>
        </is>
      </c>
      <c r="C19" s="6" t="n">
        <v>30000</v>
      </c>
      <c r="D19" s="7" t="inlineStr">
        <is>
          <t>₺/ay</t>
        </is>
      </c>
      <c r="E19" s="8" t="inlineStr">
        <is>
          <t>Brüt maaş üzerinden tüm kesintiler ve işveren maliyeti hesaplanır.</t>
        </is>
      </c>
    </row>
    <row r="20">
      <c r="B20" s="5" t="inlineStr">
        <is>
          <t>SGK işçi payı</t>
        </is>
      </c>
      <c r="C20" s="9" t="n">
        <v>0.14</v>
      </c>
      <c r="D20" s="7" t="inlineStr">
        <is>
          <t>%</t>
        </is>
      </c>
      <c r="E20" s="8" t="inlineStr">
        <is>
          <t>Standart %14 (5510 SK).</t>
        </is>
      </c>
    </row>
    <row r="21">
      <c r="B21" s="5" t="inlineStr">
        <is>
          <t>İşsizlik sigortası işçi payı</t>
        </is>
      </c>
      <c r="C21" s="9" t="n">
        <v>0.01</v>
      </c>
      <c r="D21" s="7" t="inlineStr">
        <is>
          <t>%</t>
        </is>
      </c>
    </row>
    <row r="22">
      <c r="B22" s="5" t="inlineStr">
        <is>
          <t>SGK işveren payı (5 puan indirim DAHİL %15,5)</t>
        </is>
      </c>
      <c r="C22" s="9" t="n">
        <v>0.155</v>
      </c>
      <c r="D22" s="7" t="inlineStr">
        <is>
          <t>%</t>
        </is>
      </c>
      <c r="E22" s="8" t="inlineStr">
        <is>
          <t>Normalde %20,5; 5510/Ek-81 indiriminden yararlanan işverenler %15,5 öder.</t>
        </is>
      </c>
    </row>
    <row r="23">
      <c r="B23" s="5" t="inlineStr">
        <is>
          <t>İşsizlik sigortası işveren payı</t>
        </is>
      </c>
      <c r="C23" s="9" t="n">
        <v>0.02</v>
      </c>
      <c r="D23" s="7" t="inlineStr">
        <is>
          <t>%</t>
        </is>
      </c>
    </row>
    <row r="24">
      <c r="B24" s="5" t="inlineStr">
        <is>
          <t>Damga vergisi oranı (ücret)</t>
        </is>
      </c>
      <c r="C24" s="9" t="n">
        <v>0.00759</v>
      </c>
      <c r="D24" s="7" t="inlineStr">
        <is>
          <t>%</t>
        </is>
      </c>
      <c r="E24" s="8" t="inlineStr">
        <is>
          <t>Binde 7,59 (488 SK).</t>
        </is>
      </c>
    </row>
    <row r="25">
      <c r="B25" s="5" t="inlineStr">
        <is>
          <t>Aylık asgari ücret (brüt) – 2026 varsayımı</t>
        </is>
      </c>
      <c r="C25" s="6" t="n">
        <v>30000</v>
      </c>
      <c r="D25" s="7" t="inlineStr">
        <is>
          <t>₺/ay</t>
        </is>
      </c>
      <c r="E25" s="8" t="inlineStr">
        <is>
          <t>Asgari ücretten gelir/damga istisnası için kullanılır. 2026 rakamı netleştiğinde güncelleyin.</t>
        </is>
      </c>
    </row>
    <row r="27" ht="20" customHeight="1">
      <c r="B27" s="3" t="inlineStr">
        <is>
          <t>1.D  Kurumlar Vergisi ve Kâr Dağıtımı</t>
        </is>
      </c>
    </row>
    <row r="28">
      <c r="B28" s="5" t="inlineStr">
        <is>
          <t>Kurumlar vergisi oranı</t>
        </is>
      </c>
      <c r="C28" s="9" t="n">
        <v>0.25</v>
      </c>
      <c r="D28" s="7" t="inlineStr">
        <is>
          <t>%</t>
        </is>
      </c>
      <c r="E28" s="8" t="inlineStr">
        <is>
          <t>2026 için genel oran %25. Bankalar/finans %30; halka açık (BIST %20+ fiili dolaşım) %23.</t>
        </is>
      </c>
    </row>
    <row r="29">
      <c r="B29" s="5" t="inlineStr">
        <is>
          <t>Geçici (peşin) vergi oranı</t>
        </is>
      </c>
      <c r="C29" s="9" t="n">
        <v>0.25</v>
      </c>
      <c r="D29" s="7" t="inlineStr">
        <is>
          <t>%</t>
        </is>
      </c>
      <c r="E29" s="8" t="inlineStr">
        <is>
          <t>3 aylık dönemler hâlinde ödenir, yıl sonunda kurumlar vergisinden mahsup edilir.</t>
        </is>
      </c>
    </row>
    <row r="30">
      <c r="B30" s="5" t="inlineStr">
        <is>
          <t>Kâr dağıtımı yapılacak mı?</t>
        </is>
      </c>
      <c r="C30" s="11" t="inlineStr">
        <is>
          <t>EVET</t>
        </is>
      </c>
      <c r="E30" s="8" t="inlineStr">
        <is>
          <t>EVET / HAYIR. EVET ise kalan net kâr üzerinden temettü stopajı hesaplanır.</t>
        </is>
      </c>
    </row>
    <row r="31">
      <c r="B31" s="5" t="inlineStr">
        <is>
          <t>Temettü (kâr payı) stopaj oranı</t>
        </is>
      </c>
      <c r="C31" s="9" t="n">
        <v>0.15</v>
      </c>
      <c r="D31" s="7" t="inlineStr">
        <is>
          <t>%</t>
        </is>
      </c>
      <c r="E31" s="8" t="inlineStr">
        <is>
          <t>2025 sonu itibarıyla %15 (önceden %10 idi).</t>
        </is>
      </c>
    </row>
    <row r="33" ht="20" customHeight="1">
      <c r="B33" s="3" t="inlineStr">
        <is>
          <t>1.E  Diğer / Muafiyetler</t>
        </is>
      </c>
    </row>
    <row r="34">
      <c r="B34" s="5" t="inlineStr">
        <is>
          <t>Asgari kurumlar vergisi oranı (yurt içi)</t>
        </is>
      </c>
      <c r="C34" s="9" t="n">
        <v>0.1</v>
      </c>
      <c r="D34" s="7" t="inlineStr">
        <is>
          <t>%</t>
        </is>
      </c>
      <c r="E34" s="8" t="inlineStr">
        <is>
          <t>7524 SK ile getirilen yurt içi asgari kurumlar vergisi (indirim öncesi matraha %10).</t>
        </is>
      </c>
    </row>
    <row r="35">
      <c r="B35" s="5" t="inlineStr">
        <is>
          <t>Yeni kurulan şirket istisnası (ilk 3 yıl)?</t>
        </is>
      </c>
      <c r="C35" s="11" t="inlineStr">
        <is>
          <t>HAYIR</t>
        </is>
      </c>
      <c r="E35" s="8" t="inlineStr">
        <is>
          <t>Asgari kurumlar vergisi yeni kurulanlar için ilk 3 yıl uygulanmaz (EVET = muaf).</t>
        </is>
      </c>
    </row>
  </sheetData>
  <mergeCells count="6">
    <mergeCell ref="B17:E17"/>
    <mergeCell ref="B27:E27"/>
    <mergeCell ref="B1:E1"/>
    <mergeCell ref="B4:E4"/>
    <mergeCell ref="B13:E13"/>
    <mergeCell ref="B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55" customWidth="1" min="4" max="4"/>
  </cols>
  <sheetData>
    <row r="1" ht="24" customHeight="1">
      <c r="B1" s="1" t="inlineStr">
        <is>
          <t>KDV (KATMA DEĞER VERGİSİ) HESABI – YILLIK</t>
        </is>
      </c>
    </row>
    <row r="2">
      <c r="B2" s="2" t="inlineStr">
        <is>
          <t>KDV her ay beyan edilir. Burada yıllık toplam gösterilmiştir.</t>
        </is>
      </c>
    </row>
    <row r="4" ht="20" customHeight="1">
      <c r="B4" s="3" t="inlineStr">
        <is>
          <t>Hesaplanan KDV (Satışlardan)</t>
        </is>
      </c>
    </row>
    <row r="5">
      <c r="B5" s="5" t="inlineStr">
        <is>
          <t>Satış tutarı (KDV hariç)</t>
        </is>
      </c>
      <c r="C5" s="12">
        <f>Satis</f>
        <v/>
      </c>
      <c r="D5" s="8" t="inlineStr">
        <is>
          <t>Girdiler sayfasından</t>
        </is>
      </c>
    </row>
    <row r="6">
      <c r="B6" s="5" t="inlineStr">
        <is>
          <t>Satış KDV oranı</t>
        </is>
      </c>
      <c r="C6" s="13">
        <f>SatisKDV</f>
        <v/>
      </c>
    </row>
    <row r="7">
      <c r="B7" s="5" t="inlineStr">
        <is>
          <t>Hesaplanan KDV (output VAT)</t>
        </is>
      </c>
      <c r="C7" s="14">
        <f>Satis*SatisKDV</f>
        <v/>
      </c>
      <c r="D7" s="8" t="inlineStr">
        <is>
          <t>Müşteriden tahsil edilen KDV</t>
        </is>
      </c>
    </row>
    <row r="9" ht="20" customHeight="1">
      <c r="B9" s="3" t="inlineStr">
        <is>
          <t>İndirilecek KDV (Alışlardan)</t>
        </is>
      </c>
    </row>
    <row r="10">
      <c r="B10" s="5" t="inlineStr">
        <is>
          <t>Alış tutarı (KDV hariç)</t>
        </is>
      </c>
      <c r="C10" s="12">
        <f>Alis</f>
        <v/>
      </c>
    </row>
    <row r="11">
      <c r="B11" s="5" t="inlineStr">
        <is>
          <t>Alış KDV oranı</t>
        </is>
      </c>
      <c r="C11" s="13">
        <f>AlisKDV</f>
        <v/>
      </c>
    </row>
    <row r="12">
      <c r="B12" s="5" t="inlineStr">
        <is>
          <t>İndirilecek KDV (input VAT)</t>
        </is>
      </c>
      <c r="C12" s="14">
        <f>Alis*AlisKDV</f>
        <v/>
      </c>
      <c r="D12" s="8" t="inlineStr">
        <is>
          <t>Tedarikçilere ödenen ve mahsup edilen KDV</t>
        </is>
      </c>
    </row>
    <row r="14" ht="20" customHeight="1">
      <c r="B14" s="3" t="inlineStr">
        <is>
          <t>Ödenecek KDV</t>
        </is>
      </c>
    </row>
    <row r="15">
      <c r="B15" s="5" t="inlineStr">
        <is>
          <t>Net Ödenecek KDV (yıllık)</t>
        </is>
      </c>
      <c r="C15" s="14">
        <f>MAX(0, C7-C12)</f>
        <v/>
      </c>
      <c r="D15" s="8">
        <f> Hesaplanan KDV - İndirilecek KDV. Negatifse devrolur, ödenmez.</f>
        <v/>
      </c>
    </row>
    <row r="16">
      <c r="B16" s="5" t="inlineStr">
        <is>
          <t>Devreden KDV (varsa)</t>
        </is>
      </c>
      <c r="C16" s="15">
        <f>MAX(0, C12-C7)</f>
        <v/>
      </c>
      <c r="D16" s="8" t="inlineStr">
        <is>
          <t>İndirilecek KDV &gt; Hesaplanan KDV ise sonraki aya devreder.</t>
        </is>
      </c>
    </row>
    <row r="17">
      <c r="B17" s="5" t="inlineStr">
        <is>
          <t>Aylık ortalama ödenecek KDV</t>
        </is>
      </c>
      <c r="C17" s="12">
        <f>C15/12</f>
        <v/>
      </c>
    </row>
    <row r="19">
      <c r="B19" s="16" t="inlineStr">
        <is>
          <t>ÖNEMLİ NOTLAR:</t>
        </is>
      </c>
    </row>
    <row r="20">
      <c r="B20" s="8" t="inlineStr">
        <is>
          <t>• KDV beyannamesi her ayın 28'ine kadar verilir, ödeme aynı tarihtir.</t>
        </is>
      </c>
    </row>
    <row r="21">
      <c r="B21" s="8" t="inlineStr">
        <is>
          <t>• 2026 standart KDV oranı %20'dir. İndirimli oranlar: gıda %10, kitap-eğitim %1, sağlık %10.</t>
        </is>
      </c>
    </row>
    <row r="22">
      <c r="B22" s="8" t="inlineStr">
        <is>
          <t>• Limited Şirket KDV mükellefidir; muafiyet yoktur (basit usul gerçek kişiler içindir).</t>
        </is>
      </c>
    </row>
    <row r="23">
      <c r="B23" s="8" t="inlineStr">
        <is>
          <t>• Tevkifatlı KDV (örn. yapım, danışmanlık) ayrıca dikkate alınmalıdır.</t>
        </is>
      </c>
    </row>
  </sheetData>
  <mergeCells count="4">
    <mergeCell ref="B9:D9"/>
    <mergeCell ref="B1:D1"/>
    <mergeCell ref="B14:D14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22" customWidth="1" min="4" max="4"/>
    <col width="55" customWidth="1" min="5" max="5"/>
  </cols>
  <sheetData>
    <row r="1" ht="24" customHeight="1">
      <c r="B1" s="1" t="inlineStr">
        <is>
          <t>ÇALIŞAN MALİYETİ – AYLIK VE YILLIK</t>
        </is>
      </c>
    </row>
    <row r="2">
      <c r="B2" s="2" t="inlineStr">
        <is>
          <t>Çalışan sayısı 0 ise tüm sonuçlar 0 olur. Gelir vergisi 2026 dilimleri ile hesaplanır.</t>
        </is>
      </c>
    </row>
    <row r="4">
      <c r="C4" s="4" t="inlineStr">
        <is>
          <t>KİŞİ BAŞI / AY</t>
        </is>
      </c>
      <c r="D4" s="4" t="inlineStr">
        <is>
          <t>TOPLAM / YIL</t>
        </is>
      </c>
    </row>
    <row r="5" ht="20" customHeight="1">
      <c r="B5" s="3" t="inlineStr">
        <is>
          <t>A) İşçi Brüt Maaş ve Kesintiler</t>
        </is>
      </c>
    </row>
    <row r="6">
      <c r="B6" s="5" t="inlineStr">
        <is>
          <t>Brüt maaş</t>
        </is>
      </c>
      <c r="C6" s="12">
        <f>BrutMaas</f>
        <v/>
      </c>
      <c r="D6" s="12">
        <f>C6*Calisan*12</f>
        <v/>
      </c>
    </row>
    <row r="7">
      <c r="B7" s="5" t="inlineStr">
        <is>
          <t>(-) SGK işçi payı (%14)</t>
        </is>
      </c>
      <c r="C7" s="12">
        <f>C6*SGKisci</f>
        <v/>
      </c>
      <c r="D7" s="12">
        <f>C7*Calisan*12</f>
        <v/>
      </c>
    </row>
    <row r="8">
      <c r="B8" s="5" t="inlineStr">
        <is>
          <t>(-) İşsizlik işçi payı (%1)</t>
        </is>
      </c>
      <c r="C8" s="12">
        <f>C6*IssizlikIsci</f>
        <v/>
      </c>
      <c r="D8" s="12">
        <f>C8*Calisan*12</f>
        <v/>
      </c>
    </row>
    <row r="9">
      <c r="B9" s="5" t="inlineStr">
        <is>
          <t>Gelir vergisi matrahı (aylık)</t>
        </is>
      </c>
      <c r="C9" s="12">
        <f>C6-C7-C8</f>
        <v/>
      </c>
      <c r="D9" s="12">
        <f>C9*Calisan*12</f>
        <v/>
      </c>
    </row>
    <row r="10">
      <c r="B10" s="5" t="inlineStr">
        <is>
          <t>(-) Gelir vergisi (yıllık kümülatif matraha göre)</t>
        </is>
      </c>
      <c r="C10" s="12">
        <f>IF(C9*12&lt;=200000, C9*12*0.15, IF(C9*12&lt;=420000, 30000+(C9*12-200000)*0.20, IF(C9*12&lt;=1500000, 74000+(C9*12-420000)*0.27, IF(C9*12&lt;=5500000, 365600+(C9*12-1500000)*0.35, 1765600+(C9*12-5500000)*0.40))))/12</f>
        <v/>
      </c>
      <c r="D10" s="12">
        <f>C10*Calisan*12</f>
        <v/>
      </c>
      <c r="E10" s="8" t="inlineStr">
        <is>
          <t>2026 dilim tahminleri: 200k/420k/1.5M/5.5M ₺ (resmî dilimler açıklandığında güncelleyin).</t>
        </is>
      </c>
    </row>
    <row r="11">
      <c r="B11" s="5" t="inlineStr">
        <is>
          <t>(-) Damga vergisi (binde 7,59)</t>
        </is>
      </c>
      <c r="C11" s="12">
        <f>C6*Damga</f>
        <v/>
      </c>
      <c r="D11" s="12">
        <f>C11*Calisan*12</f>
        <v/>
      </c>
    </row>
    <row r="12">
      <c r="B12" s="5" t="inlineStr">
        <is>
          <t>(+) Asgari ücret istisnası (GV+DV)</t>
        </is>
      </c>
      <c r="C12" s="12">
        <f>IF(Calisan=0,0, ((AsgariUcret-AsgariUcret*(SGKisci+IssizlikIsci))*0.15 + AsgariUcret*Damga))</f>
        <v/>
      </c>
      <c r="D12" s="12">
        <f>C12*Calisan*12</f>
        <v/>
      </c>
      <c r="E12" s="8" t="inlineStr">
        <is>
          <t>Asgari ücret üzerinden hesaplanan GV+DV istisna; net maaşa eklenir.</t>
        </is>
      </c>
    </row>
    <row r="13">
      <c r="B13" s="5" t="inlineStr">
        <is>
          <t>NET MAAŞ (çalışana ödenen)</t>
        </is>
      </c>
      <c r="C13" s="14">
        <f>C6-C7-C8-C10-C11+C12</f>
        <v/>
      </c>
      <c r="D13" s="14">
        <f>C13*Calisan*12</f>
        <v/>
      </c>
    </row>
    <row r="15" ht="20" customHeight="1">
      <c r="B15" s="3" t="inlineStr">
        <is>
          <t>B) İşveren Maliyetleri (Brüt Üzerinden)</t>
        </is>
      </c>
    </row>
    <row r="16">
      <c r="B16" s="5" t="inlineStr">
        <is>
          <t>SGK işveren payı (%15,5 indirimli / %20,5 normal)</t>
        </is>
      </c>
      <c r="C16" s="12">
        <f>C6*SGKisveren</f>
        <v/>
      </c>
      <c r="D16" s="12">
        <f>C16*Calisan*12</f>
        <v/>
      </c>
    </row>
    <row r="17">
      <c r="B17" s="5" t="inlineStr">
        <is>
          <t>İşsizlik işveren payı (%2)</t>
        </is>
      </c>
      <c r="C17" s="12">
        <f>C6*IssizlikIsveren</f>
        <v/>
      </c>
      <c r="D17" s="12">
        <f>C17*Calisan*12</f>
        <v/>
      </c>
    </row>
    <row r="18">
      <c r="B18" s="5" t="inlineStr">
        <is>
          <t>TOPLAM İŞVEREN MALİYETİ (kişi başı/ay – yıllık)</t>
        </is>
      </c>
      <c r="C18" s="14">
        <f>C6+C16+C17</f>
        <v/>
      </c>
      <c r="D18" s="14">
        <f>C18*Calisan*12</f>
        <v/>
      </c>
      <c r="E18" s="8" t="inlineStr">
        <is>
          <t>Şirket için tek bir çalışanın gerçek yıllık maliyeti.</t>
        </is>
      </c>
    </row>
    <row r="20" ht="20" customHeight="1">
      <c r="B20" s="3" t="inlineStr">
        <is>
          <t>C) Muhtasar Beyanname ile Ödenecekler (Yıllık)</t>
        </is>
      </c>
    </row>
    <row r="21">
      <c r="B21" s="5" t="inlineStr">
        <is>
          <t>Çalışan gelir vergisi stopajı (yıllık, istisna sonrası)</t>
        </is>
      </c>
      <c r="C21" s="12">
        <f>MAX(0, (D10+D11) - D12)</f>
        <v/>
      </c>
      <c r="E21" s="8" t="inlineStr">
        <is>
          <t>Muhtasar beyanname ile her ay/3 ayda bir ödenir.</t>
        </is>
      </c>
    </row>
    <row r="22">
      <c r="B22" s="5" t="inlineStr">
        <is>
          <t>Kira stopajı (gerçek kişiden kira ödeniyorsa)</t>
        </is>
      </c>
      <c r="C22" s="12">
        <f>KiraAylik*12*KiraStopaj</f>
        <v/>
      </c>
      <c r="E22" s="8" t="inlineStr">
        <is>
          <t>Aylık brüt kira × 12 × %20.</t>
        </is>
      </c>
    </row>
    <row r="23">
      <c r="B23" s="5" t="inlineStr">
        <is>
          <t>TOPLAM MUHTASAR</t>
        </is>
      </c>
      <c r="C23" s="14">
        <f>C21+C22</f>
        <v/>
      </c>
    </row>
    <row r="25">
      <c r="B25" s="16" t="inlineStr">
        <is>
          <t>MUAFİYET/AVANTAJ NOTLARI:</t>
        </is>
      </c>
    </row>
    <row r="26">
      <c r="B26" s="8" t="inlineStr">
        <is>
          <t>• Çalışan yoksa (Çalışan=0): SGK ve gelir vergisi stopajı yok, ancak ortaklar BAĞ-KUR (4/b) ödemekle yükümlüdür.</t>
        </is>
      </c>
    </row>
    <row r="27">
      <c r="B27" s="8" t="inlineStr">
        <is>
          <t>• Asgari ücretten hesaplanan gelir vergisi + damga vergisi istisnadır (tüm çalışanlar için).</t>
        </is>
      </c>
    </row>
    <row r="28">
      <c r="B28" s="8" t="inlineStr">
        <is>
          <t>• İlk defa işe alınan kadın/genç/engelli için ek SGK teşvikleri (4447 SK 19, 7103 SK) olabilir.</t>
        </is>
      </c>
    </row>
    <row r="29">
      <c r="B29" s="8" t="inlineStr">
        <is>
          <t>• 10'dan az çalışanı olanlar muhtasarı 3 ayda bir verebilir; aksi hâlde aylık.</t>
        </is>
      </c>
    </row>
  </sheetData>
  <mergeCells count="4">
    <mergeCell ref="B15:E15"/>
    <mergeCell ref="B1:E1"/>
    <mergeCell ref="B5:E5"/>
    <mergeCell ref="B20:E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B1:D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60" customWidth="1" min="4" max="4"/>
  </cols>
  <sheetData>
    <row r="1" ht="24" customHeight="1">
      <c r="B1" s="1" t="inlineStr">
        <is>
          <t>KURUMLAR VERGİSİ HESABI – YILLIK</t>
        </is>
      </c>
    </row>
    <row r="2">
      <c r="B2" s="2" t="inlineStr">
        <is>
          <t>Ticari kâr → KKEG/istisnalarla mali kâra çevrilir → vergi hesaplanır.</t>
        </is>
      </c>
    </row>
    <row r="4" ht="20" customHeight="1">
      <c r="B4" s="3" t="inlineStr">
        <is>
          <t>A) Ticari Kâr Hesabı (Kazanç)</t>
        </is>
      </c>
    </row>
    <row r="5">
      <c r="B5" s="5" t="inlineStr">
        <is>
          <t>Satış geliri (KDV hariç)</t>
        </is>
      </c>
      <c r="C5" s="12">
        <f>Satis</f>
        <v/>
      </c>
    </row>
    <row r="6">
      <c r="B6" s="5" t="inlineStr">
        <is>
          <t>(-) Mal/hizmet alımları &amp; giderler (KDV hariç)</t>
        </is>
      </c>
      <c r="C6" s="12">
        <f>Alis</f>
        <v/>
      </c>
    </row>
    <row r="7">
      <c r="B7" s="5" t="inlineStr">
        <is>
          <t>(-) KDV'siz/belgesiz indirilebilir giderler</t>
        </is>
      </c>
      <c r="C7" s="12">
        <f>KDVsizGider</f>
        <v/>
      </c>
    </row>
    <row r="8">
      <c r="B8" s="5" t="inlineStr">
        <is>
          <t>(-) Yıllık kira gideri (brüt)</t>
        </is>
      </c>
      <c r="C8" s="12">
        <f>KiraAylik*12</f>
        <v/>
      </c>
      <c r="D8" s="8" t="inlineStr">
        <is>
          <t>Brüt kira gider, stopaj ayrıca düşülmez; sadece muhasebede gider.</t>
        </is>
      </c>
    </row>
    <row r="9">
      <c r="B9" s="5" t="inlineStr">
        <is>
          <t>(-) Toplam personel gideri (işveren maliyeti)</t>
        </is>
      </c>
      <c r="C9" s="12">
        <f>'3. Çalışan Maliyeti'!D18</f>
        <v/>
      </c>
    </row>
    <row r="10">
      <c r="B10" s="5" t="inlineStr">
        <is>
          <t>TİCARİ KÂR</t>
        </is>
      </c>
      <c r="C10" s="14">
        <f>C5-C6-C7-C8-C9</f>
        <v/>
      </c>
    </row>
    <row r="12" ht="20" customHeight="1">
      <c r="B12" s="3" t="inlineStr">
        <is>
          <t>B) Mali Kâr (Vergi Matrahı)</t>
        </is>
      </c>
    </row>
    <row r="13">
      <c r="B13" s="5" t="inlineStr">
        <is>
          <t>Ticari kâr</t>
        </is>
      </c>
      <c r="C13" s="12">
        <f>C10</f>
        <v/>
      </c>
    </row>
    <row r="14">
      <c r="B14" s="5" t="inlineStr">
        <is>
          <t>(+) Kanunen kabul edilmeyen giderler (KKEG)</t>
        </is>
      </c>
      <c r="C14" s="12">
        <f>KKEG</f>
        <v/>
      </c>
    </row>
    <row r="15">
      <c r="B15" s="5" t="inlineStr">
        <is>
          <t>(-) İstisna ve indirimler</t>
        </is>
      </c>
      <c r="C15" s="6" t="n">
        <v>0</v>
      </c>
      <c r="D15" s="8" t="inlineStr">
        <is>
          <t>Manuel: AR-GE indirimi, iştirak kazancı istisnası, KOBİ birleşme istisnası vb.</t>
        </is>
      </c>
    </row>
    <row r="16">
      <c r="B16" s="5" t="inlineStr">
        <is>
          <t>VERGİ MATRAHI (Mali Kâr)</t>
        </is>
      </c>
      <c r="C16" s="14">
        <f>MAX(0, C10+C14-C15)</f>
        <v/>
      </c>
    </row>
    <row r="18" ht="20" customHeight="1">
      <c r="B18" s="3" t="inlineStr">
        <is>
          <t>C) Kurumlar Vergisi</t>
        </is>
      </c>
    </row>
    <row r="19">
      <c r="B19" s="5" t="inlineStr">
        <is>
          <t>Hesaplanan kurumlar vergisi (matrah × %25)</t>
        </is>
      </c>
      <c r="C19" s="12">
        <f>C16*KVoran</f>
        <v/>
      </c>
    </row>
    <row r="20">
      <c r="B20" s="5" t="inlineStr">
        <is>
          <t>Yurt içi asgari kurumlar vergisi (matrah × %10)</t>
        </is>
      </c>
      <c r="C20" s="12">
        <f>IF(UPPER(TRIM(YeniSirket))="EVET",0, C16*AsgariKVoran)</f>
        <v/>
      </c>
      <c r="D20" s="8" t="inlineStr">
        <is>
          <t>7524 SK. Yeni kurulan şirketler ilk 3 yıl muaf. Hesaplanan KV bundan azsa fark ödenir.</t>
        </is>
      </c>
    </row>
    <row r="21">
      <c r="B21" s="5" t="inlineStr">
        <is>
          <t>ÖDENECEK KURUMLAR VERGİSİ (en büyük olanı)</t>
        </is>
      </c>
      <c r="C21" s="14">
        <f>MAX(C19, C20)</f>
        <v/>
      </c>
    </row>
    <row r="22">
      <c r="B22" s="5" t="inlineStr">
        <is>
          <t>Geçici (peşin) vergi (3 ayda bir, yıl içinde ödenen)</t>
        </is>
      </c>
      <c r="C22" s="12">
        <f>C21</f>
        <v/>
      </c>
      <c r="D22" s="8" t="inlineStr">
        <is>
          <t>3 aylık dönemlerde ödenir, yıl sonunda mahsup edilir; ek bir vergi DEĞİL.</t>
        </is>
      </c>
    </row>
    <row r="24" ht="20" customHeight="1">
      <c r="B24" s="3" t="inlineStr">
        <is>
          <t>D) Net Kâr ve Temettü</t>
        </is>
      </c>
    </row>
    <row r="25">
      <c r="B25" s="5" t="inlineStr">
        <is>
          <t>VERGİ SONRASI NET KÂR (ortaklara dağıtılabilir)</t>
        </is>
      </c>
      <c r="C25" s="14">
        <f>C10-C21</f>
        <v/>
      </c>
    </row>
    <row r="26">
      <c r="B26" s="5" t="inlineStr">
        <is>
          <t>Temettü stopajı (kâr dağıtımı yapılırsa)</t>
        </is>
      </c>
      <c r="C26" s="12">
        <f>IF(UPPER(TRIM(TemettuVarMi))="EVET", MAX(0,C25)*TemettuStopaj, 0)</f>
        <v/>
      </c>
      <c r="D26" s="8" t="inlineStr">
        <is>
          <t>Net kâr ortaklara dağıtılırsa şirket %15 stopaj keser ve muhtasar ile öder.</t>
        </is>
      </c>
    </row>
    <row r="27">
      <c r="B27" s="5" t="inlineStr">
        <is>
          <t>ORTAKLARIN ELİNE GEÇEN NET TEMETTÜ</t>
        </is>
      </c>
      <c r="C27" s="14">
        <f>IF(UPPER(TRIM(TemettuVarMi))="EVET", MAX(0,C25)-C26, 0)</f>
        <v/>
      </c>
    </row>
    <row r="28">
      <c r="B28" s="8" t="inlineStr">
        <is>
          <t>Not: Gerçek kişi ortak temettüyü beyan eder; %15 stopaj mahsup edilir, dilime göre ek vergi çıkabilir.</t>
        </is>
      </c>
    </row>
  </sheetData>
  <mergeCells count="5">
    <mergeCell ref="B1:D1"/>
    <mergeCell ref="B4:D4"/>
    <mergeCell ref="B18:D18"/>
    <mergeCell ref="B12:D12"/>
    <mergeCell ref="B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B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60" customWidth="1" min="4" max="4"/>
  </cols>
  <sheetData>
    <row r="1" ht="24" customHeight="1">
      <c r="B1" s="1" t="inlineStr">
        <is>
          <t>STOPAJ (KAYNAĞINDA KESİLEN VERGİ) ÖZETİ – YILLIK</t>
        </is>
      </c>
    </row>
    <row r="3" ht="20" customHeight="1">
      <c r="B3" s="3" t="inlineStr">
        <is>
          <t>Muhtasar Beyanname Kalemleri</t>
        </is>
      </c>
    </row>
    <row r="4">
      <c r="B4" s="5" t="inlineStr">
        <is>
          <t>Ücret stopajı (çalışanlardan)</t>
        </is>
      </c>
      <c r="C4" s="12">
        <f>'3. Çalışan Maliyeti'!C21</f>
        <v/>
      </c>
    </row>
    <row r="5">
      <c r="B5" s="5" t="inlineStr">
        <is>
          <t>Kira stopajı (işyeri kirası)</t>
        </is>
      </c>
      <c r="C5" s="12">
        <f>'3. Çalışan Maliyeti'!C22</f>
        <v/>
      </c>
      <c r="D5" s="8" t="inlineStr">
        <is>
          <t>Aylık brüt kira × 12 × %20</t>
        </is>
      </c>
    </row>
    <row r="6">
      <c r="B6" s="5" t="inlineStr">
        <is>
          <t>Serbest meslek stopajı (varsa)</t>
        </is>
      </c>
      <c r="C6" s="6" t="n">
        <v>0</v>
      </c>
      <c r="D6" s="8" t="inlineStr">
        <is>
          <t>SMM, avukat, mali müşavir gibi serbest meslek erbabına yapılan ödemelerde %20.</t>
        </is>
      </c>
    </row>
    <row r="7">
      <c r="B7" s="5" t="inlineStr">
        <is>
          <t>Temettü stopajı (kâr dağıtımı)</t>
        </is>
      </c>
      <c r="C7" s="12">
        <f>'4. Kurumlar Vergisi'!C26</f>
        <v/>
      </c>
    </row>
    <row r="8">
      <c r="B8" s="5" t="inlineStr">
        <is>
          <t>TOPLAM MUHTASAR / YIL</t>
        </is>
      </c>
      <c r="C8" s="14">
        <f>SUM(C4:C7)</f>
        <v/>
      </c>
    </row>
    <row r="10">
      <c r="B10" s="8" t="inlineStr">
        <is>
          <t>Muhtasar beyanname genelde takip eden ayın 26'sına kadar verilir, 26'sına kadar ödenir.</t>
        </is>
      </c>
    </row>
  </sheetData>
  <mergeCells count="2">
    <mergeCell ref="B1:D1"/>
    <mergeCell ref="B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0000"/>
    <outlinePr summaryBelow="1" summaryRight="1"/>
    <pageSetUpPr/>
  </sheetPr>
  <dimension ref="B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5" customWidth="1" min="3" max="3"/>
    <col width="18" customWidth="1" min="4" max="4"/>
    <col width="50" customWidth="1" min="5" max="5"/>
  </cols>
  <sheetData>
    <row r="1" ht="24" customHeight="1">
      <c r="B1" s="1" t="inlineStr">
        <is>
          <t>ŞİRKETİN YILLIK TOPLAM VERGİ YÜKÜ – ÖZET TABLO</t>
        </is>
      </c>
    </row>
    <row r="2">
      <c r="B2" s="2" t="inlineStr">
        <is>
          <t>Aşağıdaki tüm rakamlar Girdiler sayfasındaki varsayımlardan otomatik hesaplanır.</t>
        </is>
      </c>
    </row>
    <row r="4">
      <c r="B4" s="17" t="inlineStr">
        <is>
          <t>Vergi / Kalem</t>
        </is>
      </c>
      <c r="C4" s="17" t="inlineStr">
        <is>
          <t>Yıllık Tutar</t>
        </is>
      </c>
      <c r="D4" s="17" t="inlineStr">
        <is>
          <t>Hasılat %</t>
        </is>
      </c>
      <c r="E4" s="17" t="inlineStr">
        <is>
          <t>Beyan / Ödeme Dönemi</t>
        </is>
      </c>
    </row>
    <row r="5">
      <c r="B5" s="18" t="inlineStr">
        <is>
          <t>Ödenecek KDV (yıllık net)</t>
        </is>
      </c>
      <c r="C5" s="12">
        <f>'2. KDV'!C15</f>
        <v/>
      </c>
      <c r="D5" s="13">
        <f>C5/Satis</f>
        <v/>
      </c>
      <c r="E5" s="18" t="inlineStr">
        <is>
          <t>Aylık, 28'i</t>
        </is>
      </c>
    </row>
    <row r="6">
      <c r="B6" s="18" t="inlineStr">
        <is>
          <t>Kurumlar vergisi</t>
        </is>
      </c>
      <c r="C6" s="12">
        <f>'4. Kurumlar Vergisi'!C21</f>
        <v/>
      </c>
      <c r="D6" s="13">
        <f>C6/Satis</f>
        <v/>
      </c>
      <c r="E6" s="18" t="inlineStr">
        <is>
          <t>Yıllık (Nisan); geçici 3 ayda bir</t>
        </is>
      </c>
    </row>
    <row r="7">
      <c r="B7" s="18" t="inlineStr">
        <is>
          <t>Ücret stopajı (muhtasar)</t>
        </is>
      </c>
      <c r="C7" s="12">
        <f>'5. Stopajlar'!C4</f>
        <v/>
      </c>
      <c r="D7" s="13">
        <f>C7/Satis</f>
        <v/>
      </c>
      <c r="E7" s="18" t="inlineStr">
        <is>
          <t>Aylık/3 aylık, 26'sı</t>
        </is>
      </c>
    </row>
    <row r="8">
      <c r="B8" s="18" t="inlineStr">
        <is>
          <t>Kira stopajı (muhtasar)</t>
        </is>
      </c>
      <c r="C8" s="12">
        <f>'5. Stopajlar'!C5</f>
        <v/>
      </c>
      <c r="D8" s="13">
        <f>C8/Satis</f>
        <v/>
      </c>
      <c r="E8" s="18" t="inlineStr">
        <is>
          <t>Aylık/3 aylık, 26'sı</t>
        </is>
      </c>
    </row>
    <row r="9">
      <c r="B9" s="18" t="inlineStr">
        <is>
          <t>Serbest meslek stopajı</t>
        </is>
      </c>
      <c r="C9" s="12">
        <f>'5. Stopajlar'!C6</f>
        <v/>
      </c>
      <c r="D9" s="13">
        <f>C9/Satis</f>
        <v/>
      </c>
      <c r="E9" s="18" t="inlineStr">
        <is>
          <t>Aylık/3 aylık, 26'sı</t>
        </is>
      </c>
    </row>
    <row r="10">
      <c r="B10" s="18" t="inlineStr">
        <is>
          <t>Temettü stopajı</t>
        </is>
      </c>
      <c r="C10" s="12">
        <f>'5. Stopajlar'!C7</f>
        <v/>
      </c>
      <c r="D10" s="13">
        <f>C10/Satis</f>
        <v/>
      </c>
      <c r="E10" s="18" t="inlineStr">
        <is>
          <t>Dağıtım yapıldığında</t>
        </is>
      </c>
    </row>
    <row r="11">
      <c r="B11" s="18" t="inlineStr">
        <is>
          <t>SGK işveren primi (yıllık)</t>
        </is>
      </c>
      <c r="C11" s="12">
        <f>'3. Çalışan Maliyeti'!D16</f>
        <v/>
      </c>
      <c r="D11" s="13">
        <f>C11/Satis</f>
        <v/>
      </c>
      <c r="E11" s="18" t="inlineStr">
        <is>
          <t>Aylık, takip eden ayın sonu</t>
        </is>
      </c>
    </row>
    <row r="12">
      <c r="B12" s="18" t="inlineStr">
        <is>
          <t>İşsizlik işveren primi (yıllık)</t>
        </is>
      </c>
      <c r="C12" s="12">
        <f>'3. Çalışan Maliyeti'!D17</f>
        <v/>
      </c>
      <c r="D12" s="13">
        <f>C12/Satis</f>
        <v/>
      </c>
      <c r="E12" s="18" t="inlineStr">
        <is>
          <t>Aylık, takip eden ayın sonu</t>
        </is>
      </c>
    </row>
    <row r="13">
      <c r="B13" s="5" t="inlineStr">
        <is>
          <t>ŞİRKETİN ÖDEDİĞİ TOPLAM (vergi + SGK)</t>
        </is>
      </c>
      <c r="C13" s="14">
        <f>SUM(C5:C12)</f>
        <v/>
      </c>
      <c r="D13" s="19">
        <f>C13/Satis</f>
        <v/>
      </c>
      <c r="E13" s="20" t="inlineStr"/>
    </row>
    <row r="15" ht="20" customHeight="1">
      <c r="B15" s="3" t="inlineStr">
        <is>
          <t>Hızlı Panel</t>
        </is>
      </c>
    </row>
    <row r="16">
      <c r="B16" s="18" t="inlineStr">
        <is>
          <t>Yıllık satış (KDV hariç)</t>
        </is>
      </c>
      <c r="C16" s="12">
        <f>Satis</f>
        <v/>
      </c>
    </row>
    <row r="17">
      <c r="B17" s="18" t="inlineStr">
        <is>
          <t>Yıllık alış (KDV hariç)</t>
        </is>
      </c>
      <c r="C17" s="12">
        <f>Alis</f>
        <v/>
      </c>
    </row>
    <row r="18">
      <c r="B18" s="18" t="inlineStr">
        <is>
          <t>Ticari kâr (vergi öncesi)</t>
        </is>
      </c>
      <c r="C18" s="12">
        <f>'4. Kurumlar Vergisi'!C10</f>
        <v/>
      </c>
    </row>
    <row r="19">
      <c r="B19" s="18" t="inlineStr">
        <is>
          <t>Vergi matrahı (mali kâr)</t>
        </is>
      </c>
      <c r="C19" s="12">
        <f>'4. Kurumlar Vergisi'!C16</f>
        <v/>
      </c>
    </row>
    <row r="20">
      <c r="B20" s="18" t="inlineStr">
        <is>
          <t>Vergi sonrası net kâr</t>
        </is>
      </c>
      <c r="C20" s="12">
        <f>'4. Kurumlar Vergisi'!C25</f>
        <v/>
      </c>
    </row>
    <row r="21">
      <c r="B21" s="18" t="inlineStr">
        <is>
          <t>Ortakların eline geçen (temettü sonrası)</t>
        </is>
      </c>
      <c r="C21" s="12">
        <f>'4. Kurumlar Vergisi'!C27</f>
        <v/>
      </c>
    </row>
    <row r="22">
      <c r="B22" s="18" t="inlineStr">
        <is>
          <t>Toplam personel maliyeti (işveren)</t>
        </is>
      </c>
      <c r="C22" s="12">
        <f>'3. Çalışan Maliyeti'!D18</f>
        <v/>
      </c>
    </row>
    <row r="23">
      <c r="B23" s="18" t="inlineStr">
        <is>
          <t>Çalışan sayısı</t>
        </is>
      </c>
      <c r="C23" s="21">
        <f>Calisan</f>
        <v/>
      </c>
    </row>
    <row r="25">
      <c r="B25" s="16" t="inlineStr">
        <is>
          <t>→ İlk sayfadaki sarı hücreleri değiştirerek tüm tabloyu kendi senaryonuza uyarlayabilirsiniz.</t>
        </is>
      </c>
    </row>
  </sheetData>
  <mergeCells count="2">
    <mergeCell ref="B15:E15"/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B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0" customWidth="1" min="3" max="3"/>
  </cols>
  <sheetData>
    <row r="1" ht="24" customHeight="1">
      <c r="B1" s="1" t="inlineStr">
        <is>
          <t>2026 VERGİ ORANLARI VE ÖNEMLİ NOTLAR</t>
        </is>
      </c>
    </row>
    <row r="3" ht="20" customHeight="1">
      <c r="B3" s="5" t="inlineStr">
        <is>
          <t>KDV oranları</t>
        </is>
      </c>
      <c r="C3" s="18" t="inlineStr">
        <is>
          <t>Standart %20 | İndirimli %10 (gıda, sağlık vb.) | %1 (temel gıda, kitap, eğitim)</t>
        </is>
      </c>
    </row>
    <row r="4" ht="36" customHeight="1">
      <c r="B4" s="5" t="inlineStr">
        <is>
          <t>Kurumlar vergisi</t>
        </is>
      </c>
      <c r="C4" s="18" t="inlineStr">
        <is>
          <t>Genel %25 | Bankalar/finansal kuruluşlar %30 | Halka açık şirketler (BIST'te min %20 fiili dolaşım) %23</t>
        </is>
      </c>
    </row>
    <row r="5" ht="20" customHeight="1">
      <c r="B5" s="5" t="inlineStr">
        <is>
          <t>Yurt içi asgari kurumlar vergisi</t>
        </is>
      </c>
      <c r="C5" s="18" t="inlineStr">
        <is>
          <t>7524 SK ile matrahın %10'undan az olamaz. Yeni kurulanlar ilk 3 yıl muaf.</t>
        </is>
      </c>
    </row>
    <row r="6" ht="20" customHeight="1">
      <c r="B6" s="5" t="inlineStr">
        <is>
          <t>Geçici vergi</t>
        </is>
      </c>
      <c r="C6" s="18" t="inlineStr">
        <is>
          <t>Üçer aylık dönemler için %25; yıl sonunda kurumlar vergisinden mahsup edilir.</t>
        </is>
      </c>
    </row>
    <row r="7" ht="20" customHeight="1">
      <c r="B7" s="5" t="inlineStr">
        <is>
          <t>Temettü stopajı</t>
        </is>
      </c>
      <c r="C7" s="18" t="inlineStr">
        <is>
          <t>2025 sonu itibarıyla %15 (önceden %10 idi). Cumhurbaşkanı kararıyla değişebilir.</t>
        </is>
      </c>
    </row>
    <row r="8" ht="36" customHeight="1">
      <c r="B8" s="5" t="inlineStr">
        <is>
          <t>Gelir vergisi (ücret) – 2026 tahmini dilimler</t>
        </is>
      </c>
      <c r="C8" s="18" t="inlineStr">
        <is>
          <t>&lt;200.000 ₺: %15 | 200-420 bin: %20 | 420 bin-1,5 M: %27 | 1,5-5,5 M: %35 | &gt;5,5 M: %40 (resmî dilimler açıklandığında güncelleyin)</t>
        </is>
      </c>
    </row>
    <row r="9" ht="20" customHeight="1">
      <c r="B9" s="5" t="inlineStr">
        <is>
          <t>Damga vergisi (ücret)</t>
        </is>
      </c>
      <c r="C9" s="18" t="inlineStr">
        <is>
          <t>Binde 7,59 — brüt maaş üzerinden.</t>
        </is>
      </c>
    </row>
    <row r="10" ht="20" customHeight="1">
      <c r="B10" s="5" t="inlineStr">
        <is>
          <t>SGK işçi</t>
        </is>
      </c>
      <c r="C10" s="18" t="inlineStr">
        <is>
          <t>%14 (emeklilik+sağlık) + %1 işsizlik = %15</t>
        </is>
      </c>
    </row>
    <row r="11" ht="20" customHeight="1">
      <c r="B11" s="5" t="inlineStr">
        <is>
          <t>SGK işveren</t>
        </is>
      </c>
      <c r="C11" s="18" t="inlineStr">
        <is>
          <t>%20,5 normal; 5510 SK 5 puan indirimiyle %15,5 + %2 işsizlik = %17,5 (indirimli)</t>
        </is>
      </c>
    </row>
    <row r="12" ht="20" customHeight="1">
      <c r="B12" s="5" t="inlineStr">
        <is>
          <t>Kira stopajı</t>
        </is>
      </c>
      <c r="C12" s="18" t="inlineStr">
        <is>
          <t>İşyeri kirası gerçek kişiden ise %20 (GVK 94/5). Tüzel kişiden kiralanıyorsa stopaj yok.</t>
        </is>
      </c>
    </row>
    <row r="13" ht="20" customHeight="1">
      <c r="B13" s="5" t="inlineStr">
        <is>
          <t>Serbest meslek stopajı</t>
        </is>
      </c>
      <c r="C13" s="18" t="inlineStr">
        <is>
          <t>Genel %20 (SMMM, avukat, doktor vb. ödemelerde).</t>
        </is>
      </c>
    </row>
    <row r="14" ht="20" customHeight="1">
      <c r="B14" s="5" t="inlineStr">
        <is>
          <t>KDV mükellefiyeti</t>
        </is>
      </c>
      <c r="C14" s="18" t="inlineStr">
        <is>
          <t>Limited şirket otomatik KDV mükellefidir; basit usul / muafiyet uygulanmaz.</t>
        </is>
      </c>
    </row>
    <row r="15" ht="36" customHeight="1">
      <c r="B15" s="5" t="inlineStr">
        <is>
          <t>BAĞ-KUR (4/b)</t>
        </is>
      </c>
      <c r="C15" s="18" t="inlineStr">
        <is>
          <t>Limited şirket ortağı çalışan olmasa bile 4/b'ye tabidir; aylık prim öder. Bu tablo şirket vergilerini hesaplar, ortak bireysel BAĞ-KUR'u ayrıdır.</t>
        </is>
      </c>
    </row>
    <row r="16" ht="36" customHeight="1">
      <c r="B16" s="5" t="inlineStr">
        <is>
          <t>Defter tutma</t>
        </is>
      </c>
      <c r="C16" s="18" t="inlineStr">
        <is>
          <t>Bilanço esasına göre defter tutar (e-Defter zorunlu). e-Fatura, e-Arşiv ciroya göre zorunlu olabilir.</t>
        </is>
      </c>
    </row>
    <row r="17" ht="36" customHeight="1">
      <c r="B17" s="5" t="inlineStr">
        <is>
          <t>Beyan dönemleri</t>
        </is>
      </c>
      <c r="C17" s="18" t="inlineStr">
        <is>
          <t>KDV: aylık 28'i | Muhtasar: aylık veya 3 aylık 26'sı | Geçici vergi: 3 ayda bir 17'si | Kurumlar vergisi: Nisan ayı 30'a kadar | SGK: takip eden ayın son günü</t>
        </is>
      </c>
    </row>
    <row r="18" ht="20" customHeight="1">
      <c r="B18" s="5" t="inlineStr">
        <is>
          <t>Asgari ücret istisnası</t>
        </is>
      </c>
      <c r="C18" s="18" t="inlineStr">
        <is>
          <t>Tüm çalışanlar için, brüt asgari ücretten hesaplanan GV ve damga vergisi istisnadır.</t>
        </is>
      </c>
    </row>
    <row r="19" ht="36" customHeight="1">
      <c r="B19" s="5" t="inlineStr">
        <is>
          <t>Yeni teşvik / istisnalar</t>
        </is>
      </c>
      <c r="C19" s="18" t="inlineStr">
        <is>
          <t>AR-GE, tasarım, ihracat (KVK 32/A), yatırım teşvik (indirimli KV), genç girişimci (GV içinden), KOBİ birleşme istisnası → uygulanıyorsa Sayfa 4 'istisna' alanına girilir.</t>
        </is>
      </c>
    </row>
    <row r="20" ht="54" customHeight="1">
      <c r="B20" s="5" t="inlineStr">
        <is>
          <t>Yasal Uyarı</t>
        </is>
      </c>
      <c r="C20" s="18" t="inlineStr">
        <is>
          <t>Bu tablo bilgilendirme amaçlıdır; nihai vergi yükümlülüğü için Mali Müşavir / YMM ile teyit ediniz. 2026 yılı resmi oranları yıl başında Gelir İdaresi Başkanlığı tarafından yayımlanır.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2026-05-24T09:10:34Z</dcterms:created>
  <dcterms:modified xsi:type="dcterms:W3CDTF">2026-05-24T09:10:34Z</dcterms:modified>
</cp:coreProperties>
</file>